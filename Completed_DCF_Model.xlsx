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13_ncr:1_{293A818B-F088-4E8B-A670-7D37C1E29C5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Assumptions" sheetId="1" r:id="rId1"/>
    <sheet name="DCF Model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</calcChain>
</file>

<file path=xl/sharedStrings.xml><?xml version="1.0" encoding="utf-8"?>
<sst xmlns="http://schemas.openxmlformats.org/spreadsheetml/2006/main" count="52" uniqueCount="48">
  <si>
    <t>Assumptions</t>
  </si>
  <si>
    <t>Tax Rate</t>
  </si>
  <si>
    <t>Discount Rate</t>
  </si>
  <si>
    <t>Perpetual Growth Rate</t>
  </si>
  <si>
    <t>EV/EBITDA Multiple</t>
  </si>
  <si>
    <t>Transaction Date</t>
  </si>
  <si>
    <t>12/31/17</t>
  </si>
  <si>
    <t>Fiscal Year End</t>
  </si>
  <si>
    <t>6/30/18</t>
  </si>
  <si>
    <t>Current Price</t>
  </si>
  <si>
    <t>Shares Outstanding</t>
  </si>
  <si>
    <t>Debt</t>
  </si>
  <si>
    <t>Cash</t>
  </si>
  <si>
    <t>Capex</t>
  </si>
  <si>
    <t>Discounted Cash Flow</t>
  </si>
  <si>
    <t>Exit</t>
  </si>
  <si>
    <t>Terminal Value</t>
  </si>
  <si>
    <t>Date</t>
  </si>
  <si>
    <t>6/30/19</t>
  </si>
  <si>
    <t>6/30/20</t>
  </si>
  <si>
    <t>6/30/21</t>
  </si>
  <si>
    <t>6/30/22</t>
  </si>
  <si>
    <t>Time Periods</t>
  </si>
  <si>
    <t>Year Fraction</t>
  </si>
  <si>
    <t>EBIT</t>
  </si>
  <si>
    <t>Less Cash Taxes</t>
  </si>
  <si>
    <t>Plus DA</t>
  </si>
  <si>
    <t>Less Capex</t>
  </si>
  <si>
    <t>Less Changes in NWC</t>
  </si>
  <si>
    <t>Unlevered FCF</t>
  </si>
  <si>
    <t>Discount Factor 12%</t>
  </si>
  <si>
    <t>PV of FCF</t>
  </si>
  <si>
    <t>Terminal Value Perpetutal Growth</t>
  </si>
  <si>
    <t>PV TV</t>
  </si>
  <si>
    <t>EV/EBITDA</t>
  </si>
  <si>
    <t>Entry/Exit</t>
  </si>
  <si>
    <t>Enterprise Value</t>
  </si>
  <si>
    <t>Plus Cash</t>
  </si>
  <si>
    <t>Less Debt</t>
  </si>
  <si>
    <t>Equity Value</t>
  </si>
  <si>
    <t>Intrinsic Value per Share</t>
  </si>
  <si>
    <t>Upside %</t>
  </si>
  <si>
    <t>(42%)</t>
  </si>
  <si>
    <t>Market Value</t>
  </si>
  <si>
    <t>Market Value vs Intrinsic Value</t>
  </si>
  <si>
    <t>Equity Value/Share (Market)</t>
  </si>
  <si>
    <t>Intrinsic Value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</si>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</sst>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4.4" x14ac:dyDescent="0.3"/>
  <sheetData>
    <row r="1" spans="1:2" x14ac:dyDescent="0.3">
      <c r="A1">
        <v>0</v>
      </c>
      <c r="B1">
        <v>1</v>
      </c>
    </row>
    <row r="2" spans="1:2" x14ac:dyDescent="0.3">
      <c r="A2" t="s">
        <v>0</v>
      </c>
    </row>
    <row r="3" spans="1:2" x14ac:dyDescent="0.3">
      <c r="A3" t="s">
        <v>1</v>
      </c>
      <c r="B3">
        <v>0.25</v>
      </c>
    </row>
    <row r="4" spans="1:2" x14ac:dyDescent="0.3">
      <c r="A4" t="s">
        <v>2</v>
      </c>
      <c r="B4">
        <v>0.12</v>
      </c>
    </row>
    <row r="5" spans="1:2" x14ac:dyDescent="0.3">
      <c r="A5" t="s">
        <v>3</v>
      </c>
      <c r="B5">
        <v>0.03</v>
      </c>
    </row>
    <row r="6" spans="1:2" x14ac:dyDescent="0.3">
      <c r="A6" t="s">
        <v>4</v>
      </c>
      <c r="B6">
        <v>7</v>
      </c>
    </row>
    <row r="7" spans="1:2" x14ac:dyDescent="0.3">
      <c r="A7" t="s">
        <v>5</v>
      </c>
      <c r="B7" t="s">
        <v>6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>
        <v>25</v>
      </c>
    </row>
    <row r="10" spans="1:2" x14ac:dyDescent="0.3">
      <c r="A10" t="s">
        <v>10</v>
      </c>
      <c r="B10">
        <v>20000</v>
      </c>
    </row>
    <row r="11" spans="1:2" x14ac:dyDescent="0.3">
      <c r="A11" t="s">
        <v>11</v>
      </c>
      <c r="B11">
        <v>30000</v>
      </c>
    </row>
    <row r="12" spans="1:2" x14ac:dyDescent="0.3">
      <c r="A12" t="s">
        <v>12</v>
      </c>
      <c r="B12">
        <v>239550</v>
      </c>
    </row>
    <row r="13" spans="1:2" x14ac:dyDescent="0.3">
      <c r="A13" t="s">
        <v>13</v>
      </c>
      <c r="B13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opLeftCell="A24" workbookViewId="0">
      <selection activeCell="B31" sqref="B31"/>
    </sheetView>
  </sheetViews>
  <sheetFormatPr defaultRowHeight="14.4" x14ac:dyDescent="0.3"/>
  <cols>
    <col min="1" max="1" width="30" customWidth="1"/>
    <col min="2" max="2" width="18" customWidth="1"/>
    <col min="8" max="8" width="24.44140625" customWidth="1"/>
  </cols>
  <sheetData>
    <row r="1" spans="1:8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3">
      <c r="A2" t="s">
        <v>14</v>
      </c>
      <c r="G2" t="s">
        <v>15</v>
      </c>
      <c r="H2" t="s">
        <v>16</v>
      </c>
    </row>
    <row r="3" spans="1:8" x14ac:dyDescent="0.3">
      <c r="A3" t="s">
        <v>17</v>
      </c>
      <c r="B3" t="s">
        <v>6</v>
      </c>
      <c r="C3" t="s">
        <v>8</v>
      </c>
      <c r="D3" t="s">
        <v>18</v>
      </c>
      <c r="E3" t="s">
        <v>19</v>
      </c>
      <c r="F3" t="s">
        <v>20</v>
      </c>
      <c r="G3" t="s">
        <v>21</v>
      </c>
      <c r="H3" t="s">
        <v>21</v>
      </c>
    </row>
    <row r="4" spans="1:8" x14ac:dyDescent="0.3">
      <c r="A4" t="s">
        <v>22</v>
      </c>
      <c r="B4">
        <v>0</v>
      </c>
      <c r="C4">
        <v>0.5</v>
      </c>
      <c r="D4">
        <v>1</v>
      </c>
      <c r="E4">
        <v>2</v>
      </c>
      <c r="F4">
        <v>3</v>
      </c>
      <c r="G4">
        <v>4</v>
      </c>
      <c r="H4">
        <v>4</v>
      </c>
    </row>
    <row r="5" spans="1:8" x14ac:dyDescent="0.3">
      <c r="A5" t="s">
        <v>23</v>
      </c>
      <c r="B5">
        <v>0.5</v>
      </c>
      <c r="C5">
        <v>1</v>
      </c>
      <c r="D5">
        <v>1</v>
      </c>
      <c r="E5">
        <v>1</v>
      </c>
      <c r="F5">
        <v>1</v>
      </c>
    </row>
    <row r="6" spans="1:8" x14ac:dyDescent="0.3">
      <c r="A6" t="s">
        <v>24</v>
      </c>
      <c r="C6">
        <v>47814</v>
      </c>
      <c r="D6">
        <v>51095</v>
      </c>
      <c r="E6">
        <v>55861</v>
      </c>
      <c r="F6">
        <v>58693</v>
      </c>
      <c r="G6">
        <v>63039</v>
      </c>
    </row>
    <row r="7" spans="1:8" x14ac:dyDescent="0.3">
      <c r="A7" t="s">
        <v>25</v>
      </c>
      <c r="C7">
        <v>11954</v>
      </c>
      <c r="D7">
        <v>12774</v>
      </c>
      <c r="E7">
        <v>13965</v>
      </c>
      <c r="F7">
        <v>14673</v>
      </c>
      <c r="G7">
        <v>15760</v>
      </c>
    </row>
    <row r="8" spans="1:8" x14ac:dyDescent="0.3">
      <c r="A8" t="s">
        <v>26</v>
      </c>
      <c r="C8">
        <v>15008</v>
      </c>
      <c r="D8">
        <v>15005</v>
      </c>
      <c r="E8">
        <v>15003</v>
      </c>
      <c r="F8">
        <v>15002</v>
      </c>
      <c r="G8">
        <v>15001</v>
      </c>
    </row>
    <row r="9" spans="1:8" x14ac:dyDescent="0.3">
      <c r="A9" t="s">
        <v>27</v>
      </c>
      <c r="C9">
        <v>15000</v>
      </c>
      <c r="D9">
        <v>15000</v>
      </c>
      <c r="E9">
        <v>15000</v>
      </c>
      <c r="F9">
        <v>15000</v>
      </c>
      <c r="G9">
        <v>15000</v>
      </c>
    </row>
    <row r="10" spans="1:8" x14ac:dyDescent="0.3">
      <c r="A10" t="s">
        <v>28</v>
      </c>
      <c r="C10">
        <v>375</v>
      </c>
      <c r="D10">
        <v>611</v>
      </c>
      <c r="E10">
        <v>398</v>
      </c>
      <c r="F10">
        <v>511</v>
      </c>
      <c r="G10">
        <v>272</v>
      </c>
    </row>
    <row r="11" spans="1:8" x14ac:dyDescent="0.3">
      <c r="A11" t="s">
        <v>29</v>
      </c>
      <c r="C11">
        <v>35493</v>
      </c>
      <c r="D11">
        <v>37715</v>
      </c>
      <c r="E11">
        <v>41501</v>
      </c>
      <c r="F11">
        <v>43511</v>
      </c>
      <c r="G11">
        <v>47008</v>
      </c>
    </row>
    <row r="12" spans="1:8" x14ac:dyDescent="0.3">
      <c r="A12" t="s">
        <v>30</v>
      </c>
      <c r="C12">
        <v>0.95350000000000001</v>
      </c>
      <c r="D12">
        <v>0.89290000000000003</v>
      </c>
      <c r="E12">
        <v>0.79720000000000002</v>
      </c>
      <c r="F12">
        <v>0.71179999999999999</v>
      </c>
      <c r="G12">
        <v>0.63549999999999995</v>
      </c>
    </row>
    <row r="13" spans="1:8" x14ac:dyDescent="0.3">
      <c r="A13" t="s">
        <v>31</v>
      </c>
      <c r="C13">
        <v>33847</v>
      </c>
      <c r="D13">
        <v>33677</v>
      </c>
      <c r="E13">
        <v>33078</v>
      </c>
      <c r="F13">
        <v>30954</v>
      </c>
      <c r="G13">
        <v>29880</v>
      </c>
    </row>
    <row r="14" spans="1:8" x14ac:dyDescent="0.3">
      <c r="A14" t="s">
        <v>32</v>
      </c>
      <c r="G14">
        <v>485282</v>
      </c>
    </row>
    <row r="15" spans="1:8" x14ac:dyDescent="0.3">
      <c r="A15" t="s">
        <v>33</v>
      </c>
      <c r="G15">
        <v>308491</v>
      </c>
    </row>
    <row r="16" spans="1:8" x14ac:dyDescent="0.3">
      <c r="A16" t="s">
        <v>34</v>
      </c>
      <c r="B16">
        <v>542129</v>
      </c>
    </row>
    <row r="17" spans="1:8" x14ac:dyDescent="0.3">
      <c r="A17" t="s">
        <v>35</v>
      </c>
      <c r="B17">
        <v>290450</v>
      </c>
      <c r="H17">
        <v>542129</v>
      </c>
    </row>
    <row r="18" spans="1:8" x14ac:dyDescent="0.3">
      <c r="A18" t="s">
        <v>36</v>
      </c>
      <c r="B18">
        <v>499927</v>
      </c>
    </row>
    <row r="19" spans="1:8" x14ac:dyDescent="0.3">
      <c r="A19" t="s">
        <v>37</v>
      </c>
      <c r="B19">
        <v>239550</v>
      </c>
    </row>
    <row r="20" spans="1:8" x14ac:dyDescent="0.3">
      <c r="A20" t="s">
        <v>38</v>
      </c>
      <c r="B20">
        <v>30000</v>
      </c>
    </row>
    <row r="21" spans="1:8" x14ac:dyDescent="0.3">
      <c r="A21" t="s">
        <v>39</v>
      </c>
      <c r="B21">
        <v>709477</v>
      </c>
    </row>
    <row r="22" spans="1:8" x14ac:dyDescent="0.3">
      <c r="A22" t="s">
        <v>40</v>
      </c>
      <c r="B22">
        <v>35.47</v>
      </c>
    </row>
    <row r="23" spans="1:8" x14ac:dyDescent="0.3">
      <c r="A23" t="s">
        <v>41</v>
      </c>
      <c r="B23" t="s">
        <v>42</v>
      </c>
    </row>
    <row r="24" spans="1:8" x14ac:dyDescent="0.3">
      <c r="A24" t="s">
        <v>43</v>
      </c>
      <c r="B24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E6" sqref="E6"/>
    </sheetView>
  </sheetViews>
  <sheetFormatPr defaultRowHeight="14.4" x14ac:dyDescent="0.3"/>
  <cols>
    <col min="1" max="1" width="26" customWidth="1"/>
    <col min="2" max="2" width="14.77734375" customWidth="1"/>
  </cols>
  <sheetData>
    <row r="1" spans="1:2" x14ac:dyDescent="0.3">
      <c r="A1">
        <v>0</v>
      </c>
      <c r="B1">
        <v>1</v>
      </c>
    </row>
    <row r="2" spans="1:2" x14ac:dyDescent="0.3">
      <c r="A2" t="s">
        <v>44</v>
      </c>
    </row>
    <row r="3" spans="1:2" x14ac:dyDescent="0.3">
      <c r="A3" t="s">
        <v>43</v>
      </c>
      <c r="B3">
        <v>25</v>
      </c>
    </row>
    <row r="4" spans="1:2" x14ac:dyDescent="0.3">
      <c r="A4" t="s">
        <v>45</v>
      </c>
      <c r="B4">
        <f>25*20000/20000</f>
        <v>25</v>
      </c>
    </row>
    <row r="5" spans="1:2" x14ac:dyDescent="0.3">
      <c r="A5" t="s">
        <v>46</v>
      </c>
      <c r="B5">
        <v>35.47</v>
      </c>
    </row>
    <row r="6" spans="1:2" x14ac:dyDescent="0.3">
      <c r="A6" t="s">
        <v>47</v>
      </c>
      <c r="B6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DCF Model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a42692</cp:lastModifiedBy>
  <dcterms:created xsi:type="dcterms:W3CDTF">2026-02-01T12:06:51Z</dcterms:created>
  <dcterms:modified xsi:type="dcterms:W3CDTF">2026-02-01T12:11:18Z</dcterms:modified>
</cp:coreProperties>
</file>